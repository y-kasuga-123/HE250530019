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mizushima-eiji\Dropbox\サーボ選定用一時フォルダ\"/>
    </mc:Choice>
  </mc:AlternateContent>
  <xr:revisionPtr revIDLastSave="0" documentId="13_ncr:1_{98932DDD-3DBE-4223-A2CB-BA72F478B389}" xr6:coauthVersionLast="47" xr6:coauthVersionMax="47" xr10:uidLastSave="{00000000-0000-0000-0000-000000000000}"/>
  <bookViews>
    <workbookView xWindow="-110" yWindow="-110" windowWidth="17980" windowHeight="11020" xr2:uid="{00000000-000D-0000-FFFF-FFFF00000000}"/>
  </bookViews>
  <sheets>
    <sheet name="ギヤ検討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6" i="1"/>
  <c r="G17" i="1"/>
  <c r="E17" i="1"/>
  <c r="D17" i="1"/>
  <c r="G16" i="1"/>
  <c r="F16" i="1"/>
  <c r="E16" i="1"/>
  <c r="D16" i="1"/>
  <c r="H44" i="1"/>
  <c r="H43" i="1"/>
  <c r="H40" i="1"/>
  <c r="H39" i="1"/>
  <c r="H23" i="1"/>
  <c r="H22" i="1"/>
  <c r="H14" i="1"/>
  <c r="H13" i="1"/>
  <c r="G23" i="1"/>
  <c r="G22" i="1"/>
  <c r="G44" i="1"/>
  <c r="G43" i="1"/>
  <c r="G40" i="1"/>
  <c r="G39" i="1"/>
  <c r="G14" i="1"/>
  <c r="G13" i="1"/>
  <c r="F14" i="1"/>
  <c r="E14" i="1"/>
  <c r="F13" i="1"/>
  <c r="E13" i="1"/>
  <c r="D14" i="1"/>
  <c r="D13" i="1"/>
  <c r="C33" i="1"/>
  <c r="C42" i="1" s="1"/>
  <c r="D42" i="1" s="1"/>
  <c r="C32" i="1"/>
  <c r="C41" i="1" s="1"/>
  <c r="D41" i="1" s="1"/>
  <c r="D32" i="1" s="1"/>
  <c r="E44" i="1"/>
  <c r="E43" i="1"/>
  <c r="E40" i="1"/>
  <c r="E39" i="1"/>
  <c r="C23" i="1"/>
  <c r="C12" i="1" s="1"/>
  <c r="C22" i="1"/>
  <c r="C11" i="1" s="1"/>
  <c r="F27" i="1"/>
  <c r="F17" i="1" s="1"/>
  <c r="F44" i="1"/>
  <c r="F43" i="1"/>
  <c r="F40" i="1"/>
  <c r="F39" i="1"/>
  <c r="D44" i="1"/>
  <c r="D43" i="1"/>
  <c r="D40" i="1"/>
  <c r="D39" i="1"/>
  <c r="C27" i="1"/>
  <c r="C44" i="1"/>
  <c r="C45" i="1"/>
  <c r="D45" i="1" s="1"/>
  <c r="D36" i="1" s="1"/>
  <c r="D11" i="1" s="1"/>
  <c r="C46" i="1"/>
  <c r="D46" i="1" s="1"/>
  <c r="D37" i="1" s="1"/>
  <c r="D12" i="1" s="1"/>
  <c r="C43" i="1"/>
  <c r="C40" i="1"/>
  <c r="C39" i="1"/>
  <c r="D33" i="1" l="1"/>
  <c r="E42" i="1"/>
  <c r="E41" i="1"/>
  <c r="G41" i="1" s="1"/>
  <c r="E45" i="1"/>
  <c r="E46" i="1"/>
  <c r="C10" i="1"/>
  <c r="D9" i="1"/>
  <c r="D10" i="1"/>
  <c r="C9" i="1"/>
  <c r="F41" i="1"/>
  <c r="H41" i="1" s="1"/>
  <c r="F42" i="1"/>
  <c r="H42" i="1" s="1"/>
  <c r="F45" i="1"/>
  <c r="F46" i="1"/>
  <c r="H33" i="1" l="1"/>
  <c r="H10" i="1"/>
  <c r="F36" i="1"/>
  <c r="F11" i="1" s="1"/>
  <c r="H45" i="1"/>
  <c r="H36" i="1" s="1"/>
  <c r="H11" i="1" s="1"/>
  <c r="H9" i="1"/>
  <c r="H32" i="1"/>
  <c r="F37" i="1"/>
  <c r="F12" i="1" s="1"/>
  <c r="H46" i="1"/>
  <c r="H37" i="1" s="1"/>
  <c r="H12" i="1" s="1"/>
  <c r="E36" i="1"/>
  <c r="E11" i="1" s="1"/>
  <c r="G45" i="1"/>
  <c r="G36" i="1" s="1"/>
  <c r="G11" i="1" s="1"/>
  <c r="E37" i="1"/>
  <c r="E12" i="1" s="1"/>
  <c r="G46" i="1"/>
  <c r="G37" i="1" s="1"/>
  <c r="G12" i="1" s="1"/>
  <c r="G9" i="1"/>
  <c r="G32" i="1"/>
  <c r="E33" i="1"/>
  <c r="G42" i="1"/>
  <c r="E10" i="1"/>
  <c r="E9" i="1"/>
  <c r="E32" i="1"/>
  <c r="F32" i="1"/>
  <c r="F9" i="1"/>
  <c r="F33" i="1"/>
  <c r="F10" i="1"/>
  <c r="G10" i="1" l="1"/>
  <c r="G33" i="1"/>
</calcChain>
</file>

<file path=xl/sharedStrings.xml><?xml version="1.0" encoding="utf-8"?>
<sst xmlns="http://schemas.openxmlformats.org/spreadsheetml/2006/main" count="103" uniqueCount="64">
  <si>
    <t>林エンジニアリング様　ギヤ検討</t>
    <rPh sb="0" eb="1">
      <t>ハヤシ</t>
    </rPh>
    <rPh sb="9" eb="10">
      <t>サマ</t>
    </rPh>
    <rPh sb="13" eb="15">
      <t>ケントウ</t>
    </rPh>
    <phoneticPr fontId="2"/>
  </si>
  <si>
    <t>2024.11.19</t>
    <phoneticPr fontId="2"/>
  </si>
  <si>
    <t>GAM2AA150H0CRK3</t>
  </si>
  <si>
    <t>現行構成</t>
    <rPh sb="0" eb="2">
      <t>ゲンコウ</t>
    </rPh>
    <rPh sb="2" eb="4">
      <t>コウセイ</t>
    </rPh>
    <phoneticPr fontId="2"/>
  </si>
  <si>
    <t>モータ型番</t>
    <rPh sb="3" eb="5">
      <t>カタバン</t>
    </rPh>
    <phoneticPr fontId="2"/>
  </si>
  <si>
    <t>ギヤメーカ</t>
    <phoneticPr fontId="2"/>
  </si>
  <si>
    <t>ギヤ型番</t>
    <rPh sb="2" eb="4">
      <t>カタバン</t>
    </rPh>
    <phoneticPr fontId="2"/>
  </si>
  <si>
    <t>減速比</t>
    <rPh sb="0" eb="2">
      <t>ゲンソク</t>
    </rPh>
    <rPh sb="2" eb="3">
      <t>ヒ</t>
    </rPh>
    <phoneticPr fontId="2"/>
  </si>
  <si>
    <t>ナブテスコ</t>
    <phoneticPr fontId="2"/>
  </si>
  <si>
    <t>RDP-080E-081-F4</t>
  </si>
  <si>
    <t>Nm</t>
    <phoneticPr fontId="2"/>
  </si>
  <si>
    <t>旋回時実効トルク</t>
    <rPh sb="0" eb="2">
      <t>センカイ</t>
    </rPh>
    <rPh sb="2" eb="3">
      <t>ジ</t>
    </rPh>
    <rPh sb="3" eb="5">
      <t>ジッコウ</t>
    </rPh>
    <phoneticPr fontId="2"/>
  </si>
  <si>
    <t>旋回時最大トルク</t>
    <rPh sb="0" eb="2">
      <t>センカイ</t>
    </rPh>
    <rPh sb="2" eb="3">
      <t>ジ</t>
    </rPh>
    <rPh sb="3" eb="5">
      <t>サイダイ</t>
    </rPh>
    <phoneticPr fontId="2"/>
  </si>
  <si>
    <t>旋回時平均速度</t>
    <rPh sb="0" eb="2">
      <t>センカイ</t>
    </rPh>
    <rPh sb="2" eb="3">
      <t>ジ</t>
    </rPh>
    <rPh sb="3" eb="5">
      <t>ヘイキン</t>
    </rPh>
    <rPh sb="5" eb="7">
      <t>ソクド</t>
    </rPh>
    <phoneticPr fontId="2"/>
  </si>
  <si>
    <t>旋回時最大速度</t>
    <rPh sb="0" eb="2">
      <t>センカイ</t>
    </rPh>
    <rPh sb="2" eb="3">
      <t>ジ</t>
    </rPh>
    <rPh sb="3" eb="5">
      <t>サイダイ</t>
    </rPh>
    <rPh sb="5" eb="7">
      <t>ソクド</t>
    </rPh>
    <phoneticPr fontId="2"/>
  </si>
  <si>
    <t>定格トルク</t>
    <rPh sb="0" eb="2">
      <t>テイカク</t>
    </rPh>
    <phoneticPr fontId="2"/>
  </si>
  <si>
    <t>瞬時最大トルク</t>
    <rPh sb="0" eb="2">
      <t>シュンジ</t>
    </rPh>
    <rPh sb="2" eb="4">
      <t>サイダイ</t>
    </rPh>
    <phoneticPr fontId="2"/>
  </si>
  <si>
    <t>min-1</t>
    <phoneticPr fontId="2"/>
  </si>
  <si>
    <t>定格トルク</t>
    <rPh sb="0" eb="2">
      <t>テイカク</t>
    </rPh>
    <phoneticPr fontId="2"/>
  </si>
  <si>
    <t>Nm</t>
    <phoneticPr fontId="2"/>
  </si>
  <si>
    <t>瞬時最大許容トルク</t>
    <rPh sb="0" eb="2">
      <t>シュンジ</t>
    </rPh>
    <rPh sb="2" eb="4">
      <t>サイダイ</t>
    </rPh>
    <rPh sb="4" eb="6">
      <t>キョヨウ</t>
    </rPh>
    <phoneticPr fontId="2"/>
  </si>
  <si>
    <t>許容出力回転数</t>
    <rPh sb="0" eb="2">
      <t>キョヨウ</t>
    </rPh>
    <rPh sb="2" eb="4">
      <t>シュツリョク</t>
    </rPh>
    <rPh sb="4" eb="7">
      <t>カイテンスウ</t>
    </rPh>
    <phoneticPr fontId="2"/>
  </si>
  <si>
    <t>外径</t>
    <rPh sb="0" eb="2">
      <t>ガイケイ</t>
    </rPh>
    <phoneticPr fontId="2"/>
  </si>
  <si>
    <t>厚さ</t>
    <rPh sb="0" eb="1">
      <t>アツ</t>
    </rPh>
    <phoneticPr fontId="2"/>
  </si>
  <si>
    <t>mm</t>
    <phoneticPr fontId="2"/>
  </si>
  <si>
    <t>起動停止許容トルク</t>
    <rPh sb="0" eb="2">
      <t>キドウ</t>
    </rPh>
    <rPh sb="2" eb="4">
      <t>テイシ</t>
    </rPh>
    <rPh sb="4" eb="6">
      <t>キョヨウ</t>
    </rPh>
    <phoneticPr fontId="2"/>
  </si>
  <si>
    <t>定格速度</t>
    <rPh sb="0" eb="2">
      <t>テイカク</t>
    </rPh>
    <rPh sb="2" eb="4">
      <t>ソクド</t>
    </rPh>
    <phoneticPr fontId="2"/>
  </si>
  <si>
    <t>最高速度</t>
    <rPh sb="0" eb="2">
      <t>サイコウ</t>
    </rPh>
    <rPh sb="2" eb="4">
      <t>ソクド</t>
    </rPh>
    <phoneticPr fontId="2"/>
  </si>
  <si>
    <t>ハーモニック・ドライブ・システムズ</t>
    <phoneticPr fontId="2"/>
  </si>
  <si>
    <t>定格出力回転数</t>
    <rPh sb="0" eb="2">
      <t>テイカク</t>
    </rPh>
    <rPh sb="2" eb="4">
      <t>シュツリョク</t>
    </rPh>
    <rPh sb="4" eb="7">
      <t>カイテンスウ</t>
    </rPh>
    <phoneticPr fontId="2"/>
  </si>
  <si>
    <t>定格入力回転数</t>
    <rPh sb="0" eb="2">
      <t>テイカク</t>
    </rPh>
    <rPh sb="2" eb="4">
      <t>ニュウリョク</t>
    </rPh>
    <rPh sb="4" eb="7">
      <t>カイテンスウ</t>
    </rPh>
    <phoneticPr fontId="2"/>
  </si>
  <si>
    <t>許容入力回転数</t>
    <rPh sb="0" eb="2">
      <t>キョヨウ</t>
    </rPh>
    <rPh sb="2" eb="4">
      <t>ニュウリョク</t>
    </rPh>
    <rPh sb="4" eb="7">
      <t>カイテンスウ</t>
    </rPh>
    <phoneticPr fontId="2"/>
  </si>
  <si>
    <t>CSG-65-120-2UK</t>
    <phoneticPr fontId="2"/>
  </si>
  <si>
    <t>住友重機械工業</t>
    <rPh sb="0" eb="2">
      <t>スミトモ</t>
    </rPh>
    <rPh sb="2" eb="5">
      <t>ジュウキカイ</t>
    </rPh>
    <rPh sb="5" eb="7">
      <t>コウギョウ</t>
    </rPh>
    <phoneticPr fontId="2"/>
  </si>
  <si>
    <t>F4CF-DA50-119</t>
    <phoneticPr fontId="2"/>
  </si>
  <si>
    <t>定格トルクは出力15[min-1]時の値</t>
    <rPh sb="0" eb="2">
      <t>テイカク</t>
    </rPh>
    <rPh sb="6" eb="8">
      <t>シュツリョク</t>
    </rPh>
    <rPh sb="17" eb="18">
      <t>トキ</t>
    </rPh>
    <rPh sb="19" eb="20">
      <t>アタイ</t>
    </rPh>
    <phoneticPr fontId="2"/>
  </si>
  <si>
    <t>候補1</t>
    <rPh sb="0" eb="2">
      <t>コウホ</t>
    </rPh>
    <phoneticPr fontId="2"/>
  </si>
  <si>
    <t>候補2</t>
    <rPh sb="0" eb="2">
      <t>コウホ</t>
    </rPh>
    <phoneticPr fontId="2"/>
  </si>
  <si>
    <t>旋回時実効トルク/定格トルク</t>
    <rPh sb="0" eb="3">
      <t>センカイジ</t>
    </rPh>
    <rPh sb="3" eb="5">
      <t>ジッコウ</t>
    </rPh>
    <rPh sb="9" eb="11">
      <t>テイカク</t>
    </rPh>
    <phoneticPr fontId="2"/>
  </si>
  <si>
    <t>旋回時最大トルク/起動停止許容トルク</t>
    <rPh sb="0" eb="3">
      <t>センカイジ</t>
    </rPh>
    <rPh sb="3" eb="5">
      <t>サイダイ</t>
    </rPh>
    <rPh sb="9" eb="11">
      <t>キドウ</t>
    </rPh>
    <rPh sb="11" eb="13">
      <t>テイシ</t>
    </rPh>
    <rPh sb="13" eb="15">
      <t>キョヨウ</t>
    </rPh>
    <phoneticPr fontId="2"/>
  </si>
  <si>
    <t>旋回時平均速度/定格入力回転数</t>
    <phoneticPr fontId="2"/>
  </si>
  <si>
    <t>旋回時最大速度/許容入力回転数</t>
    <phoneticPr fontId="2"/>
  </si>
  <si>
    <t>CSG-65-100-2UK</t>
    <phoneticPr fontId="2"/>
  </si>
  <si>
    <t>旋回時実効トルク負荷率</t>
    <rPh sb="0" eb="3">
      <t>センカイジ</t>
    </rPh>
    <rPh sb="3" eb="5">
      <t>ジッコウ</t>
    </rPh>
    <rPh sb="8" eb="11">
      <t>フカリツ</t>
    </rPh>
    <phoneticPr fontId="2"/>
  </si>
  <si>
    <t>旋回時最大トルク負荷率</t>
    <rPh sb="0" eb="3">
      <t>センカイジ</t>
    </rPh>
    <rPh sb="3" eb="5">
      <t>サイダイ</t>
    </rPh>
    <rPh sb="8" eb="11">
      <t>フカリツ</t>
    </rPh>
    <phoneticPr fontId="2"/>
  </si>
  <si>
    <t>モータ軸トルク・速度</t>
    <rPh sb="3" eb="4">
      <t>ジク</t>
    </rPh>
    <rPh sb="8" eb="10">
      <t>ソクド</t>
    </rPh>
    <phoneticPr fontId="2"/>
  </si>
  <si>
    <t>ギヤ出力軸トルク・速度</t>
    <rPh sb="2" eb="4">
      <t>シュツリョク</t>
    </rPh>
    <rPh sb="4" eb="5">
      <t>ジク</t>
    </rPh>
    <rPh sb="9" eb="11">
      <t>ソクド</t>
    </rPh>
    <phoneticPr fontId="2"/>
  </si>
  <si>
    <t>候補3</t>
    <rPh sb="0" eb="2">
      <t>コウホ</t>
    </rPh>
    <phoneticPr fontId="2"/>
  </si>
  <si>
    <t>ナブテスコ</t>
    <phoneticPr fontId="2"/>
  </si>
  <si>
    <t>RV-110E-111</t>
    <phoneticPr fontId="2"/>
  </si>
  <si>
    <t>RV-160-129</t>
    <phoneticPr fontId="2"/>
  </si>
  <si>
    <t>単位</t>
    <rPh sb="0" eb="2">
      <t>タンイ</t>
    </rPh>
    <phoneticPr fontId="2"/>
  </si>
  <si>
    <t>ギヤ外径比(現行構成と比較)</t>
    <rPh sb="2" eb="4">
      <t>ガイケイ</t>
    </rPh>
    <rPh sb="4" eb="5">
      <t>ヒ</t>
    </rPh>
    <rPh sb="6" eb="8">
      <t>ゲンコウ</t>
    </rPh>
    <rPh sb="8" eb="10">
      <t>コウセイ</t>
    </rPh>
    <rPh sb="11" eb="13">
      <t>ヒカク</t>
    </rPh>
    <phoneticPr fontId="2"/>
  </si>
  <si>
    <t>ギヤ厚さ比(現行構成と比較)</t>
    <rPh sb="2" eb="3">
      <t>アツ</t>
    </rPh>
    <rPh sb="4" eb="5">
      <t>ヒ</t>
    </rPh>
    <phoneticPr fontId="2"/>
  </si>
  <si>
    <t>候補4</t>
    <rPh sb="0" eb="2">
      <t>コウホ</t>
    </rPh>
    <phoneticPr fontId="2"/>
  </si>
  <si>
    <t>候補5</t>
    <rPh sb="0" eb="2">
      <t>コウホ</t>
    </rPh>
    <phoneticPr fontId="2"/>
  </si>
  <si>
    <t>ギヤ特性</t>
    <rPh sb="2" eb="4">
      <t>トクセイ</t>
    </rPh>
    <phoneticPr fontId="2"/>
  </si>
  <si>
    <t>過負荷アラーム発生時間(実効トルク基準)</t>
    <rPh sb="0" eb="3">
      <t>カフカ</t>
    </rPh>
    <rPh sb="7" eb="9">
      <t>ハッセイ</t>
    </rPh>
    <rPh sb="9" eb="11">
      <t>ジカン</t>
    </rPh>
    <rPh sb="12" eb="14">
      <t>ジッコウ</t>
    </rPh>
    <rPh sb="17" eb="19">
      <t>キジュン</t>
    </rPh>
    <phoneticPr fontId="2"/>
  </si>
  <si>
    <t>sec</t>
    <phoneticPr fontId="2"/>
  </si>
  <si>
    <t>※計算に減速機の効率は考慮しておりません。</t>
    <rPh sb="1" eb="3">
      <t>ケイサン</t>
    </rPh>
    <rPh sb="4" eb="7">
      <t>ゲンソクキ</t>
    </rPh>
    <rPh sb="8" eb="10">
      <t>コウリツ</t>
    </rPh>
    <rPh sb="11" eb="13">
      <t>コウリョ</t>
    </rPh>
    <phoneticPr fontId="2"/>
  </si>
  <si>
    <t>※実効トルク・最大トルク・平均速度・最大速度は、2024年10月1・2日の実測値です。</t>
    <rPh sb="1" eb="3">
      <t>ジッコウ</t>
    </rPh>
    <rPh sb="7" eb="9">
      <t>サイダイ</t>
    </rPh>
    <rPh sb="13" eb="15">
      <t>ヘイキン</t>
    </rPh>
    <rPh sb="15" eb="17">
      <t>ソクド</t>
    </rPh>
    <rPh sb="18" eb="20">
      <t>サイダイ</t>
    </rPh>
    <rPh sb="20" eb="22">
      <t>ソクド</t>
    </rPh>
    <rPh sb="28" eb="29">
      <t>ネン</t>
    </rPh>
    <rPh sb="31" eb="32">
      <t>ガツ</t>
    </rPh>
    <rPh sb="35" eb="36">
      <t>ニチ</t>
    </rPh>
    <rPh sb="37" eb="40">
      <t>ジッソクチ</t>
    </rPh>
    <phoneticPr fontId="2"/>
  </si>
  <si>
    <t>※過負荷アラーム発生時間は、旋回時実効トルク負荷率をもとに、</t>
    <rPh sb="1" eb="4">
      <t>カフカ</t>
    </rPh>
    <rPh sb="8" eb="10">
      <t>ハッセイ</t>
    </rPh>
    <rPh sb="10" eb="12">
      <t>ジカン</t>
    </rPh>
    <phoneticPr fontId="2"/>
  </si>
  <si>
    <t>　標準の過負荷特性曲線から目視で読み取った値です。</t>
    <phoneticPr fontId="2"/>
  </si>
  <si>
    <t>　旋回前の動作・停止状況により短くなります。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</si>
</sst>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1"/>
      <color theme="1"/>
      <name val="Yu Gothic"/>
      <family val="2"/>
      <scheme val="minor"/>
    </font>
    <font>
      <sz val="11"/>
      <color theme="1"/>
      <name val="Meiryo UI"/>
      <family val="3"/>
      <charset val="128"/>
    </font>
    <font>
      <sz val="6"/>
      <name val="Yu Gothic"/>
      <family val="3"/>
      <charset val="128"/>
      <scheme val="minor"/>
    </font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9" fontId="1" fillId="0" borderId="1" xfId="1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9" fontId="1" fillId="0" borderId="7" xfId="1" applyFont="1" applyBorder="1" applyAlignment="1">
      <alignment vertical="center"/>
    </xf>
    <xf numFmtId="176" fontId="1" fillId="0" borderId="7" xfId="0" applyNumberFormat="1" applyFont="1" applyBorder="1" applyAlignment="1">
      <alignment vertical="center"/>
    </xf>
    <xf numFmtId="2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2" fontId="1" fillId="0" borderId="9" xfId="0" applyNumberFormat="1" applyFont="1" applyBorder="1" applyAlignment="1">
      <alignment vertical="center"/>
    </xf>
    <xf numFmtId="2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9" fontId="1" fillId="0" borderId="15" xfId="1" applyFont="1" applyBorder="1" applyAlignment="1">
      <alignment vertical="center"/>
    </xf>
    <xf numFmtId="176" fontId="1" fillId="0" borderId="15" xfId="0" applyNumberFormat="1" applyFont="1" applyBorder="1" applyAlignment="1">
      <alignment vertical="center"/>
    </xf>
    <xf numFmtId="2" fontId="1" fillId="0" borderId="15" xfId="0" applyNumberFormat="1" applyFont="1" applyBorder="1" applyAlignment="1">
      <alignment vertical="center"/>
    </xf>
    <xf numFmtId="2" fontId="1" fillId="0" borderId="16" xfId="0" applyNumberFormat="1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9" fontId="1" fillId="0" borderId="18" xfId="1" applyFont="1" applyBorder="1" applyAlignment="1">
      <alignment vertical="center"/>
    </xf>
    <xf numFmtId="176" fontId="1" fillId="0" borderId="18" xfId="0" applyNumberFormat="1" applyFont="1" applyBorder="1" applyAlignment="1">
      <alignment vertical="center"/>
    </xf>
    <xf numFmtId="2" fontId="1" fillId="0" borderId="18" xfId="0" applyNumberFormat="1" applyFont="1" applyBorder="1" applyAlignment="1">
      <alignment vertical="center"/>
    </xf>
    <xf numFmtId="2" fontId="1" fillId="0" borderId="19" xfId="0" applyNumberFormat="1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9" fontId="1" fillId="0" borderId="28" xfId="1" applyFont="1" applyBorder="1" applyAlignment="1">
      <alignment vertical="center"/>
    </xf>
    <xf numFmtId="9" fontId="1" fillId="0" borderId="29" xfId="1" applyFont="1" applyBorder="1" applyAlignment="1">
      <alignment vertical="center"/>
    </xf>
    <xf numFmtId="9" fontId="1" fillId="0" borderId="30" xfId="1" applyFont="1" applyBorder="1" applyAlignment="1">
      <alignment vertical="center"/>
    </xf>
    <xf numFmtId="9" fontId="1" fillId="0" borderId="31" xfId="1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9" fontId="1" fillId="0" borderId="22" xfId="1" applyFont="1" applyBorder="1" applyAlignment="1">
      <alignment vertical="center"/>
    </xf>
    <xf numFmtId="9" fontId="1" fillId="0" borderId="23" xfId="1" applyFont="1" applyBorder="1" applyAlignment="1">
      <alignment vertical="center"/>
    </xf>
    <xf numFmtId="9" fontId="1" fillId="0" borderId="24" xfId="1" applyFont="1" applyBorder="1" applyAlignment="1">
      <alignment vertical="center"/>
    </xf>
    <xf numFmtId="9" fontId="1" fillId="0" borderId="25" xfId="1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5" xfId="0" applyFont="1" applyBorder="1" applyAlignment="1">
      <alignment vertical="center" shrinkToFit="1"/>
    </xf>
    <xf numFmtId="0" fontId="1" fillId="0" borderId="1" xfId="0" applyFont="1" applyBorder="1" applyAlignment="1">
      <alignment vertical="center" shrinkToFit="1"/>
    </xf>
    <xf numFmtId="9" fontId="1" fillId="0" borderId="17" xfId="1" applyFont="1" applyBorder="1" applyAlignment="1">
      <alignment vertical="center"/>
    </xf>
    <xf numFmtId="9" fontId="1" fillId="0" borderId="14" xfId="1" applyFont="1" applyBorder="1" applyAlignment="1">
      <alignment vertical="center"/>
    </xf>
    <xf numFmtId="9" fontId="1" fillId="0" borderId="4" xfId="1" applyFont="1" applyBorder="1" applyAlignment="1">
      <alignment vertical="center"/>
    </xf>
    <xf numFmtId="9" fontId="1" fillId="0" borderId="5" xfId="1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0" borderId="38" xfId="0" applyFont="1" applyBorder="1" applyAlignment="1">
      <alignment vertical="center"/>
    </xf>
    <xf numFmtId="0" fontId="1" fillId="0" borderId="39" xfId="1" applyNumberFormat="1" applyFont="1" applyBorder="1" applyAlignment="1">
      <alignment vertical="center"/>
    </xf>
    <xf numFmtId="0" fontId="1" fillId="0" borderId="40" xfId="1" applyNumberFormat="1" applyFont="1" applyBorder="1" applyAlignment="1">
      <alignment vertical="center"/>
    </xf>
    <xf numFmtId="0" fontId="1" fillId="0" borderId="8" xfId="1" applyNumberFormat="1" applyFont="1" applyBorder="1" applyAlignment="1">
      <alignment vertical="center"/>
    </xf>
    <xf numFmtId="0" fontId="1" fillId="0" borderId="19" xfId="1" applyNumberFormat="1" applyFont="1" applyBorder="1" applyAlignmen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2"/>
  <sheetViews>
    <sheetView tabSelected="1" zoomScaleNormal="100" workbookViewId="0">
      <pane xSplit="3" topLeftCell="D1" activePane="topRight" state="frozen"/>
      <selection pane="topRight" activeCell="A3" sqref="A3"/>
    </sheetView>
  </sheetViews>
  <sheetFormatPr defaultRowHeight="15" outlineLevelRow="1"/>
  <cols>
    <col min="1" max="1" width="34.58203125" style="1" bestFit="1" customWidth="1"/>
    <col min="2" max="2" width="6.75" style="1" bestFit="1" customWidth="1"/>
    <col min="3" max="8" width="21.33203125" style="1" customWidth="1"/>
    <col min="9" max="16384" width="8.6640625" style="1"/>
  </cols>
  <sheetData>
    <row r="1" spans="1:8">
      <c r="A1" s="1" t="s">
        <v>0</v>
      </c>
    </row>
    <row r="2" spans="1:8">
      <c r="A2" s="1" t="s">
        <v>1</v>
      </c>
    </row>
    <row r="3" spans="1:8" ht="15.5" thickBot="1"/>
    <row r="4" spans="1:8">
      <c r="A4" s="6"/>
      <c r="B4" s="18" t="s">
        <v>51</v>
      </c>
      <c r="C4" s="27" t="s">
        <v>3</v>
      </c>
      <c r="D4" s="21" t="s">
        <v>36</v>
      </c>
      <c r="E4" s="7" t="s">
        <v>37</v>
      </c>
      <c r="F4" s="7" t="s">
        <v>47</v>
      </c>
      <c r="G4" s="7" t="s">
        <v>54</v>
      </c>
      <c r="H4" s="8" t="s">
        <v>55</v>
      </c>
    </row>
    <row r="5" spans="1:8">
      <c r="A5" s="9" t="s">
        <v>4</v>
      </c>
      <c r="B5" s="19"/>
      <c r="C5" s="28" t="s">
        <v>2</v>
      </c>
      <c r="D5" s="22" t="s">
        <v>2</v>
      </c>
      <c r="E5" s="2" t="s">
        <v>2</v>
      </c>
      <c r="F5" s="2" t="s">
        <v>2</v>
      </c>
      <c r="G5" s="2" t="s">
        <v>2</v>
      </c>
      <c r="H5" s="10" t="s">
        <v>2</v>
      </c>
    </row>
    <row r="6" spans="1:8">
      <c r="A6" s="9" t="s">
        <v>5</v>
      </c>
      <c r="B6" s="19"/>
      <c r="C6" s="28" t="s">
        <v>8</v>
      </c>
      <c r="D6" s="62" t="s">
        <v>28</v>
      </c>
      <c r="E6" s="63" t="s">
        <v>28</v>
      </c>
      <c r="F6" s="2" t="s">
        <v>33</v>
      </c>
      <c r="G6" s="2" t="s">
        <v>48</v>
      </c>
      <c r="H6" s="10" t="s">
        <v>48</v>
      </c>
    </row>
    <row r="7" spans="1:8" ht="15.5" thickBot="1">
      <c r="A7" s="33" t="s">
        <v>6</v>
      </c>
      <c r="B7" s="34"/>
      <c r="C7" s="35" t="s">
        <v>9</v>
      </c>
      <c r="D7" s="36" t="s">
        <v>42</v>
      </c>
      <c r="E7" s="37" t="s">
        <v>32</v>
      </c>
      <c r="F7" s="37" t="s">
        <v>34</v>
      </c>
      <c r="G7" s="37" t="s">
        <v>49</v>
      </c>
      <c r="H7" s="38" t="s">
        <v>50</v>
      </c>
    </row>
    <row r="8" spans="1:8" ht="15.5" thickBot="1">
      <c r="A8" s="45" t="s">
        <v>7</v>
      </c>
      <c r="B8" s="46"/>
      <c r="C8" s="47">
        <v>81</v>
      </c>
      <c r="D8" s="48">
        <v>100</v>
      </c>
      <c r="E8" s="49">
        <v>120</v>
      </c>
      <c r="F8" s="49">
        <v>119</v>
      </c>
      <c r="G8" s="49">
        <v>111</v>
      </c>
      <c r="H8" s="50">
        <v>129</v>
      </c>
    </row>
    <row r="9" spans="1:8">
      <c r="A9" s="39" t="s">
        <v>38</v>
      </c>
      <c r="B9" s="40"/>
      <c r="C9" s="41">
        <f t="shared" ref="C9:H10" si="0">C41/C19</f>
        <v>1.3107122448979593</v>
      </c>
      <c r="D9" s="42">
        <f t="shared" si="0"/>
        <v>0.83139029126213604</v>
      </c>
      <c r="E9" s="43">
        <f t="shared" si="0"/>
        <v>0.83139029126213604</v>
      </c>
      <c r="F9" s="43">
        <f t="shared" si="0"/>
        <v>0.64224900000000007</v>
      </c>
      <c r="G9" s="43">
        <f t="shared" si="0"/>
        <v>0.9532452690166977</v>
      </c>
      <c r="H9" s="44">
        <f t="shared" si="0"/>
        <v>0.65535612244897967</v>
      </c>
    </row>
    <row r="10" spans="1:8">
      <c r="A10" s="9" t="s">
        <v>39</v>
      </c>
      <c r="B10" s="19"/>
      <c r="C10" s="29">
        <f t="shared" si="0"/>
        <v>0.59510204081632656</v>
      </c>
      <c r="D10" s="23">
        <f t="shared" si="0"/>
        <v>0.39010033444816056</v>
      </c>
      <c r="E10" s="3">
        <f t="shared" si="0"/>
        <v>0.35746245786086428</v>
      </c>
      <c r="F10" s="3">
        <f t="shared" si="0"/>
        <v>0.29160000000000003</v>
      </c>
      <c r="G10" s="3">
        <f t="shared" si="0"/>
        <v>0.43280148423005571</v>
      </c>
      <c r="H10" s="11">
        <f t="shared" si="0"/>
        <v>0.29755102040816328</v>
      </c>
    </row>
    <row r="11" spans="1:8">
      <c r="A11" s="9" t="s">
        <v>40</v>
      </c>
      <c r="B11" s="19"/>
      <c r="C11" s="29">
        <f t="shared" ref="C11:H12" si="1">C36/C22</f>
        <v>0.90370370370370368</v>
      </c>
      <c r="D11" s="23">
        <f t="shared" si="1"/>
        <v>0.71345029239766078</v>
      </c>
      <c r="E11" s="3">
        <f t="shared" si="1"/>
        <v>0.85614035087719298</v>
      </c>
      <c r="F11" s="3">
        <f t="shared" si="1"/>
        <v>0.90370370370370368</v>
      </c>
      <c r="G11" s="3">
        <f t="shared" si="1"/>
        <v>0.90370370370370379</v>
      </c>
      <c r="H11" s="11">
        <f t="shared" si="1"/>
        <v>0.90370370370370379</v>
      </c>
    </row>
    <row r="12" spans="1:8" ht="15.5" thickBot="1">
      <c r="A12" s="33" t="s">
        <v>41</v>
      </c>
      <c r="B12" s="34"/>
      <c r="C12" s="51">
        <f t="shared" si="1"/>
        <v>0.62295628962295624</v>
      </c>
      <c r="D12" s="52">
        <f t="shared" si="1"/>
        <v>0.82319223985890644</v>
      </c>
      <c r="E12" s="53">
        <f t="shared" si="1"/>
        <v>0.98783068783068784</v>
      </c>
      <c r="F12" s="53">
        <f t="shared" si="1"/>
        <v>0.87075445816186559</v>
      </c>
      <c r="G12" s="53">
        <f t="shared" si="1"/>
        <v>0.46098765432098759</v>
      </c>
      <c r="H12" s="54">
        <f t="shared" si="1"/>
        <v>0.51220850480109736</v>
      </c>
    </row>
    <row r="13" spans="1:8">
      <c r="A13" s="6" t="s">
        <v>43</v>
      </c>
      <c r="B13" s="18"/>
      <c r="C13" s="64">
        <v>1.762</v>
      </c>
      <c r="D13" s="65">
        <f>$C13*$C$8/D$8</f>
        <v>1.4272200000000002</v>
      </c>
      <c r="E13" s="66">
        <f t="shared" ref="E13:H14" si="2">$C13*$C$8/E$8</f>
        <v>1.1893500000000001</v>
      </c>
      <c r="F13" s="66">
        <f t="shared" si="2"/>
        <v>1.1993445378151262</v>
      </c>
      <c r="G13" s="66">
        <f t="shared" si="2"/>
        <v>1.2857837837837838</v>
      </c>
      <c r="H13" s="67">
        <f t="shared" si="2"/>
        <v>1.1063720930232559</v>
      </c>
    </row>
    <row r="14" spans="1:8">
      <c r="A14" s="9" t="s">
        <v>44</v>
      </c>
      <c r="B14" s="19"/>
      <c r="C14" s="29">
        <v>2</v>
      </c>
      <c r="D14" s="23">
        <f>$C14*$C$8/D$8</f>
        <v>1.62</v>
      </c>
      <c r="E14" s="3">
        <f t="shared" si="2"/>
        <v>1.35</v>
      </c>
      <c r="F14" s="3">
        <f t="shared" si="2"/>
        <v>1.3613445378151261</v>
      </c>
      <c r="G14" s="3">
        <f t="shared" si="2"/>
        <v>1.4594594594594594</v>
      </c>
      <c r="H14" s="11">
        <f t="shared" si="2"/>
        <v>1.2558139534883721</v>
      </c>
    </row>
    <row r="15" spans="1:8" ht="15.5" thickBot="1">
      <c r="A15" s="68" t="s">
        <v>57</v>
      </c>
      <c r="B15" s="69" t="s">
        <v>58</v>
      </c>
      <c r="C15" s="73">
        <v>16</v>
      </c>
      <c r="D15" s="72">
        <v>50</v>
      </c>
      <c r="E15" s="70">
        <v>2000</v>
      </c>
      <c r="F15" s="70">
        <v>2000</v>
      </c>
      <c r="G15" s="70">
        <v>100</v>
      </c>
      <c r="H15" s="71">
        <v>10000</v>
      </c>
    </row>
    <row r="16" spans="1:8">
      <c r="A16" s="39" t="s">
        <v>52</v>
      </c>
      <c r="B16" s="40"/>
      <c r="C16" s="41"/>
      <c r="D16" s="42">
        <f>D26/$C$26</f>
        <v>1.1659192825112108</v>
      </c>
      <c r="E16" s="43">
        <f t="shared" ref="E16:G16" si="3">E26/$C$26</f>
        <v>1.1659192825112108</v>
      </c>
      <c r="F16" s="43">
        <f t="shared" si="3"/>
        <v>1.0672645739910314</v>
      </c>
      <c r="G16" s="43">
        <f t="shared" si="3"/>
        <v>1.094170403587444</v>
      </c>
      <c r="H16" s="44">
        <f t="shared" ref="H16" si="4">H26/$C$26</f>
        <v>1.0757847533632288</v>
      </c>
    </row>
    <row r="17" spans="1:8" ht="15.5" thickBot="1">
      <c r="A17" s="33" t="s">
        <v>53</v>
      </c>
      <c r="B17" s="34"/>
      <c r="C17" s="51"/>
      <c r="D17" s="52">
        <f t="shared" ref="D17:G17" si="5">D27/$C$26</f>
        <v>0.57847533632286996</v>
      </c>
      <c r="E17" s="53">
        <f t="shared" si="5"/>
        <v>0.57847533632286996</v>
      </c>
      <c r="F17" s="53">
        <f t="shared" si="5"/>
        <v>0.5246636771300448</v>
      </c>
      <c r="G17" s="53">
        <f t="shared" si="5"/>
        <v>0.41479820627802688</v>
      </c>
      <c r="H17" s="54">
        <f t="shared" ref="H17" si="6">H27/$C$26</f>
        <v>0.43049327354260092</v>
      </c>
    </row>
    <row r="18" spans="1:8" collapsed="1">
      <c r="A18" s="6" t="s">
        <v>56</v>
      </c>
      <c r="B18" s="18" t="s">
        <v>51</v>
      </c>
      <c r="C18" s="27"/>
      <c r="D18" s="21"/>
      <c r="E18" s="7"/>
      <c r="F18" s="7"/>
      <c r="G18" s="7"/>
      <c r="H18" s="8"/>
    </row>
    <row r="19" spans="1:8" hidden="1" outlineLevel="1">
      <c r="A19" s="9" t="s">
        <v>18</v>
      </c>
      <c r="B19" s="19" t="s">
        <v>19</v>
      </c>
      <c r="C19" s="28">
        <v>784</v>
      </c>
      <c r="D19" s="22">
        <v>1236</v>
      </c>
      <c r="E19" s="2">
        <v>1236</v>
      </c>
      <c r="F19" s="2">
        <v>1600</v>
      </c>
      <c r="G19" s="2">
        <v>1078</v>
      </c>
      <c r="H19" s="10">
        <v>1568</v>
      </c>
    </row>
    <row r="20" spans="1:8" hidden="1" outlineLevel="1">
      <c r="A20" s="9" t="s">
        <v>25</v>
      </c>
      <c r="B20" s="19" t="s">
        <v>19</v>
      </c>
      <c r="C20" s="28">
        <v>1960</v>
      </c>
      <c r="D20" s="22">
        <v>2990</v>
      </c>
      <c r="E20" s="2">
        <v>3263</v>
      </c>
      <c r="F20" s="2">
        <v>4000</v>
      </c>
      <c r="G20" s="2">
        <v>2695</v>
      </c>
      <c r="H20" s="10">
        <v>3920</v>
      </c>
    </row>
    <row r="21" spans="1:8" hidden="1" outlineLevel="1">
      <c r="A21" s="9" t="s">
        <v>20</v>
      </c>
      <c r="B21" s="19" t="s">
        <v>19</v>
      </c>
      <c r="C21" s="28">
        <v>3920</v>
      </c>
      <c r="D21" s="22">
        <v>6175</v>
      </c>
      <c r="E21" s="2">
        <v>6175</v>
      </c>
      <c r="F21" s="2">
        <v>8000</v>
      </c>
      <c r="G21" s="2">
        <v>5390</v>
      </c>
      <c r="H21" s="10">
        <v>6615</v>
      </c>
    </row>
    <row r="22" spans="1:8" hidden="1" outlineLevel="1">
      <c r="A22" s="9" t="s">
        <v>30</v>
      </c>
      <c r="B22" s="19" t="s">
        <v>17</v>
      </c>
      <c r="C22" s="28">
        <f>C24*C$8</f>
        <v>1215</v>
      </c>
      <c r="D22" s="22">
        <v>1900</v>
      </c>
      <c r="E22" s="2">
        <v>1900</v>
      </c>
      <c r="F22" s="2">
        <v>1785</v>
      </c>
      <c r="G22" s="2">
        <f>G24*G$8</f>
        <v>1665</v>
      </c>
      <c r="H22" s="10">
        <f>H24*H$8</f>
        <v>1935</v>
      </c>
    </row>
    <row r="23" spans="1:8" hidden="1" outlineLevel="1">
      <c r="A23" s="9" t="s">
        <v>31</v>
      </c>
      <c r="B23" s="19" t="s">
        <v>17</v>
      </c>
      <c r="C23" s="28">
        <f>C25*C$8</f>
        <v>2997</v>
      </c>
      <c r="D23" s="22">
        <v>2800</v>
      </c>
      <c r="E23" s="2">
        <v>2800</v>
      </c>
      <c r="F23" s="2">
        <v>3150</v>
      </c>
      <c r="G23" s="2">
        <f>G25*G$8</f>
        <v>5550</v>
      </c>
      <c r="H23" s="10">
        <f>H25*H$8</f>
        <v>5805</v>
      </c>
    </row>
    <row r="24" spans="1:8" hidden="1" outlineLevel="1">
      <c r="A24" s="9" t="s">
        <v>29</v>
      </c>
      <c r="B24" s="19" t="s">
        <v>17</v>
      </c>
      <c r="C24" s="28">
        <v>15</v>
      </c>
      <c r="D24" s="22"/>
      <c r="E24" s="2"/>
      <c r="F24" s="2"/>
      <c r="G24" s="2">
        <v>15</v>
      </c>
      <c r="H24" s="10">
        <v>15</v>
      </c>
    </row>
    <row r="25" spans="1:8" hidden="1" outlineLevel="1">
      <c r="A25" s="9" t="s">
        <v>21</v>
      </c>
      <c r="B25" s="19" t="s">
        <v>17</v>
      </c>
      <c r="C25" s="28">
        <v>37</v>
      </c>
      <c r="D25" s="22"/>
      <c r="E25" s="2"/>
      <c r="F25" s="2"/>
      <c r="G25" s="2">
        <v>50</v>
      </c>
      <c r="H25" s="10">
        <v>45</v>
      </c>
    </row>
    <row r="26" spans="1:8" hidden="1" outlineLevel="1">
      <c r="A26" s="9" t="s">
        <v>22</v>
      </c>
      <c r="B26" s="19" t="s">
        <v>24</v>
      </c>
      <c r="C26" s="28">
        <v>223</v>
      </c>
      <c r="D26" s="22">
        <v>260</v>
      </c>
      <c r="E26" s="2">
        <v>260</v>
      </c>
      <c r="F26" s="2">
        <v>238</v>
      </c>
      <c r="G26" s="2">
        <v>244</v>
      </c>
      <c r="H26" s="10">
        <v>239.9</v>
      </c>
    </row>
    <row r="27" spans="1:8" hidden="1" outlineLevel="1">
      <c r="A27" s="9" t="s">
        <v>23</v>
      </c>
      <c r="B27" s="19" t="s">
        <v>24</v>
      </c>
      <c r="C27" s="28">
        <f>54+41.5+14+47.5</f>
        <v>157</v>
      </c>
      <c r="D27" s="22">
        <v>129</v>
      </c>
      <c r="E27" s="2">
        <v>129</v>
      </c>
      <c r="F27" s="2">
        <f>45.5+42+29.5</f>
        <v>117</v>
      </c>
      <c r="G27" s="2">
        <v>92.5</v>
      </c>
      <c r="H27" s="10">
        <v>96</v>
      </c>
    </row>
    <row r="28" spans="1:8" ht="15.5" hidden="1" outlineLevel="1" thickBot="1">
      <c r="A28" s="14"/>
      <c r="B28" s="20"/>
      <c r="C28" s="59"/>
      <c r="D28" s="60"/>
      <c r="E28" s="15"/>
      <c r="F28" s="15" t="s">
        <v>35</v>
      </c>
      <c r="G28" s="15"/>
      <c r="H28" s="61"/>
    </row>
    <row r="29" spans="1:8" ht="15.5" collapsed="1" thickBot="1">
      <c r="A29" s="39" t="s">
        <v>45</v>
      </c>
      <c r="B29" s="40" t="s">
        <v>51</v>
      </c>
      <c r="C29" s="55"/>
      <c r="D29" s="56"/>
      <c r="E29" s="57"/>
      <c r="F29" s="57"/>
      <c r="G29" s="57"/>
      <c r="H29" s="58"/>
    </row>
    <row r="30" spans="1:8" hidden="1" outlineLevel="1">
      <c r="A30" s="9" t="s">
        <v>15</v>
      </c>
      <c r="B30" s="19" t="s">
        <v>10</v>
      </c>
      <c r="C30" s="30">
        <v>7.2</v>
      </c>
      <c r="D30" s="24">
        <v>7.2</v>
      </c>
      <c r="E30" s="4">
        <v>7.2</v>
      </c>
      <c r="F30" s="4">
        <v>7.2</v>
      </c>
      <c r="G30" s="4">
        <v>7.2</v>
      </c>
      <c r="H30" s="12">
        <v>7.2</v>
      </c>
    </row>
    <row r="31" spans="1:8" hidden="1" outlineLevel="1">
      <c r="A31" s="9" t="s">
        <v>16</v>
      </c>
      <c r="B31" s="19" t="s">
        <v>10</v>
      </c>
      <c r="C31" s="30">
        <v>21</v>
      </c>
      <c r="D31" s="24">
        <v>21</v>
      </c>
      <c r="E31" s="4">
        <v>21</v>
      </c>
      <c r="F31" s="4">
        <v>21</v>
      </c>
      <c r="G31" s="4">
        <v>21</v>
      </c>
      <c r="H31" s="12">
        <v>21</v>
      </c>
    </row>
    <row r="32" spans="1:8" hidden="1" outlineLevel="1">
      <c r="A32" s="9" t="s">
        <v>11</v>
      </c>
      <c r="B32" s="19" t="s">
        <v>10</v>
      </c>
      <c r="C32" s="30">
        <f>C30*C13</f>
        <v>12.686400000000001</v>
      </c>
      <c r="D32" s="24">
        <f t="shared" ref="D32:H33" si="7">D41/D$8</f>
        <v>10.275984000000001</v>
      </c>
      <c r="E32" s="4">
        <f t="shared" si="7"/>
        <v>8.5633200000000009</v>
      </c>
      <c r="F32" s="4">
        <f t="shared" si="7"/>
        <v>8.6352806722689088</v>
      </c>
      <c r="G32" s="4">
        <f t="shared" si="7"/>
        <v>9.2576432432432441</v>
      </c>
      <c r="H32" s="12">
        <f t="shared" si="7"/>
        <v>7.9658790697674426</v>
      </c>
    </row>
    <row r="33" spans="1:8" hidden="1" outlineLevel="1">
      <c r="A33" s="9" t="s">
        <v>12</v>
      </c>
      <c r="B33" s="19" t="s">
        <v>10</v>
      </c>
      <c r="C33" s="30">
        <f>C30*C14</f>
        <v>14.4</v>
      </c>
      <c r="D33" s="24">
        <f t="shared" si="7"/>
        <v>11.664000000000001</v>
      </c>
      <c r="E33" s="4">
        <f t="shared" si="7"/>
        <v>9.7200000000000006</v>
      </c>
      <c r="F33" s="4">
        <f t="shared" si="7"/>
        <v>9.8016806722689083</v>
      </c>
      <c r="G33" s="4">
        <f t="shared" si="7"/>
        <v>10.508108108108109</v>
      </c>
      <c r="H33" s="12">
        <f t="shared" si="7"/>
        <v>9.0418604651162795</v>
      </c>
    </row>
    <row r="34" spans="1:8" hidden="1" outlineLevel="1">
      <c r="A34" s="9" t="s">
        <v>26</v>
      </c>
      <c r="B34" s="19" t="s">
        <v>17</v>
      </c>
      <c r="C34" s="28">
        <v>3000</v>
      </c>
      <c r="D34" s="22">
        <v>3000</v>
      </c>
      <c r="E34" s="2">
        <v>3000</v>
      </c>
      <c r="F34" s="2">
        <v>3000</v>
      </c>
      <c r="G34" s="2">
        <v>3000</v>
      </c>
      <c r="H34" s="10">
        <v>3000</v>
      </c>
    </row>
    <row r="35" spans="1:8" hidden="1" outlineLevel="1">
      <c r="A35" s="9" t="s">
        <v>27</v>
      </c>
      <c r="B35" s="19" t="s">
        <v>17</v>
      </c>
      <c r="C35" s="28">
        <v>6000</v>
      </c>
      <c r="D35" s="22">
        <v>6000</v>
      </c>
      <c r="E35" s="2">
        <v>6000</v>
      </c>
      <c r="F35" s="2">
        <v>6000</v>
      </c>
      <c r="G35" s="2">
        <v>6000</v>
      </c>
      <c r="H35" s="10">
        <v>6000</v>
      </c>
    </row>
    <row r="36" spans="1:8" hidden="1" outlineLevel="1">
      <c r="A36" s="9" t="s">
        <v>13</v>
      </c>
      <c r="B36" s="19" t="s">
        <v>17</v>
      </c>
      <c r="C36" s="28">
        <v>1098</v>
      </c>
      <c r="D36" s="22">
        <f t="shared" ref="D36:H37" si="8">D45*D$8</f>
        <v>1355.5555555555554</v>
      </c>
      <c r="E36" s="2">
        <f t="shared" si="8"/>
        <v>1626.6666666666667</v>
      </c>
      <c r="F36" s="2">
        <f t="shared" si="8"/>
        <v>1613.1111111111111</v>
      </c>
      <c r="G36" s="2">
        <f t="shared" si="8"/>
        <v>1504.6666666666667</v>
      </c>
      <c r="H36" s="10">
        <f t="shared" si="8"/>
        <v>1748.6666666666667</v>
      </c>
    </row>
    <row r="37" spans="1:8" ht="15.5" hidden="1" outlineLevel="1" thickBot="1">
      <c r="A37" s="33" t="s">
        <v>14</v>
      </c>
      <c r="B37" s="34" t="s">
        <v>17</v>
      </c>
      <c r="C37" s="35">
        <v>1867</v>
      </c>
      <c r="D37" s="36">
        <f t="shared" si="8"/>
        <v>2304.9382716049381</v>
      </c>
      <c r="E37" s="37">
        <f t="shared" si="8"/>
        <v>2765.9259259259261</v>
      </c>
      <c r="F37" s="37">
        <f t="shared" si="8"/>
        <v>2742.8765432098767</v>
      </c>
      <c r="G37" s="37">
        <f t="shared" si="8"/>
        <v>2558.4814814814813</v>
      </c>
      <c r="H37" s="38">
        <f t="shared" si="8"/>
        <v>2973.3703703703704</v>
      </c>
    </row>
    <row r="38" spans="1:8" collapsed="1">
      <c r="A38" s="6" t="s">
        <v>46</v>
      </c>
      <c r="B38" s="18" t="s">
        <v>51</v>
      </c>
      <c r="C38" s="27"/>
      <c r="D38" s="21"/>
      <c r="E38" s="7"/>
      <c r="F38" s="7"/>
      <c r="G38" s="7"/>
      <c r="H38" s="8"/>
    </row>
    <row r="39" spans="1:8" hidden="1" outlineLevel="1">
      <c r="A39" s="9" t="s">
        <v>15</v>
      </c>
      <c r="B39" s="19" t="s">
        <v>10</v>
      </c>
      <c r="C39" s="30">
        <f t="shared" ref="C39:H39" si="9">C30*C$8</f>
        <v>583.20000000000005</v>
      </c>
      <c r="D39" s="24">
        <f t="shared" si="9"/>
        <v>720</v>
      </c>
      <c r="E39" s="4">
        <f t="shared" si="9"/>
        <v>864</v>
      </c>
      <c r="F39" s="4">
        <f t="shared" si="9"/>
        <v>856.80000000000007</v>
      </c>
      <c r="G39" s="4">
        <f t="shared" si="9"/>
        <v>799.2</v>
      </c>
      <c r="H39" s="12">
        <f t="shared" si="9"/>
        <v>928.80000000000007</v>
      </c>
    </row>
    <row r="40" spans="1:8" hidden="1" outlineLevel="1">
      <c r="A40" s="9" t="s">
        <v>16</v>
      </c>
      <c r="B40" s="19" t="s">
        <v>10</v>
      </c>
      <c r="C40" s="30">
        <f>C31*C$8</f>
        <v>1701</v>
      </c>
      <c r="D40" s="24">
        <f>D31*D$8</f>
        <v>2100</v>
      </c>
      <c r="E40" s="4">
        <f t="shared" ref="E40" si="10">E31*E$8</f>
        <v>2520</v>
      </c>
      <c r="F40" s="4">
        <f t="shared" ref="F40:G40" si="11">F31*F$8</f>
        <v>2499</v>
      </c>
      <c r="G40" s="4">
        <f t="shared" si="11"/>
        <v>2331</v>
      </c>
      <c r="H40" s="12">
        <f t="shared" ref="H40" si="12">H31*H$8</f>
        <v>2709</v>
      </c>
    </row>
    <row r="41" spans="1:8" hidden="1" outlineLevel="1">
      <c r="A41" s="9" t="s">
        <v>11</v>
      </c>
      <c r="B41" s="19" t="s">
        <v>10</v>
      </c>
      <c r="C41" s="30">
        <f>C32*C$8</f>
        <v>1027.5984000000001</v>
      </c>
      <c r="D41" s="24">
        <f>C41</f>
        <v>1027.5984000000001</v>
      </c>
      <c r="E41" s="4">
        <f>D41</f>
        <v>1027.5984000000001</v>
      </c>
      <c r="F41" s="4">
        <f t="shared" ref="F41:H42" si="13">D41</f>
        <v>1027.5984000000001</v>
      </c>
      <c r="G41" s="4">
        <f t="shared" si="13"/>
        <v>1027.5984000000001</v>
      </c>
      <c r="H41" s="12">
        <f t="shared" si="13"/>
        <v>1027.5984000000001</v>
      </c>
    </row>
    <row r="42" spans="1:8" hidden="1" outlineLevel="1">
      <c r="A42" s="9" t="s">
        <v>12</v>
      </c>
      <c r="B42" s="19" t="s">
        <v>10</v>
      </c>
      <c r="C42" s="30">
        <f>C33*C$8</f>
        <v>1166.4000000000001</v>
      </c>
      <c r="D42" s="24">
        <f>C42</f>
        <v>1166.4000000000001</v>
      </c>
      <c r="E42" s="4">
        <f>D42</f>
        <v>1166.4000000000001</v>
      </c>
      <c r="F42" s="4">
        <f t="shared" si="13"/>
        <v>1166.4000000000001</v>
      </c>
      <c r="G42" s="4">
        <f t="shared" si="13"/>
        <v>1166.4000000000001</v>
      </c>
      <c r="H42" s="12">
        <f t="shared" si="13"/>
        <v>1166.4000000000001</v>
      </c>
    </row>
    <row r="43" spans="1:8" hidden="1" outlineLevel="1">
      <c r="A43" s="9" t="s">
        <v>26</v>
      </c>
      <c r="B43" s="19" t="s">
        <v>17</v>
      </c>
      <c r="C43" s="31">
        <f t="shared" ref="C43:H43" si="14">C34/C$8</f>
        <v>37.037037037037038</v>
      </c>
      <c r="D43" s="25">
        <f t="shared" si="14"/>
        <v>30</v>
      </c>
      <c r="E43" s="5">
        <f t="shared" si="14"/>
        <v>25</v>
      </c>
      <c r="F43" s="5">
        <f t="shared" si="14"/>
        <v>25.210084033613445</v>
      </c>
      <c r="G43" s="5">
        <f t="shared" si="14"/>
        <v>27.027027027027028</v>
      </c>
      <c r="H43" s="13">
        <f t="shared" si="14"/>
        <v>23.255813953488371</v>
      </c>
    </row>
    <row r="44" spans="1:8" hidden="1" outlineLevel="1">
      <c r="A44" s="9" t="s">
        <v>27</v>
      </c>
      <c r="B44" s="19" t="s">
        <v>17</v>
      </c>
      <c r="C44" s="31">
        <f>C35/C$8</f>
        <v>74.074074074074076</v>
      </c>
      <c r="D44" s="25">
        <f t="shared" ref="D44:F44" si="15">D35/D$8</f>
        <v>60</v>
      </c>
      <c r="E44" s="5">
        <f t="shared" ref="E44" si="16">E35/E$8</f>
        <v>50</v>
      </c>
      <c r="F44" s="5">
        <f t="shared" si="15"/>
        <v>50.420168067226889</v>
      </c>
      <c r="G44" s="5">
        <f t="shared" ref="G44:H44" si="17">G35/G$8</f>
        <v>54.054054054054056</v>
      </c>
      <c r="H44" s="13">
        <f t="shared" si="17"/>
        <v>46.511627906976742</v>
      </c>
    </row>
    <row r="45" spans="1:8" hidden="1" outlineLevel="1">
      <c r="A45" s="9" t="s">
        <v>13</v>
      </c>
      <c r="B45" s="19" t="s">
        <v>17</v>
      </c>
      <c r="C45" s="31">
        <f>C36/C$8</f>
        <v>13.555555555555555</v>
      </c>
      <c r="D45" s="25">
        <f>C45</f>
        <v>13.555555555555555</v>
      </c>
      <c r="E45" s="5">
        <f>D45</f>
        <v>13.555555555555555</v>
      </c>
      <c r="F45" s="5">
        <f t="shared" ref="F45:H46" si="18">D45</f>
        <v>13.555555555555555</v>
      </c>
      <c r="G45" s="5">
        <f t="shared" si="18"/>
        <v>13.555555555555555</v>
      </c>
      <c r="H45" s="13">
        <f t="shared" si="18"/>
        <v>13.555555555555555</v>
      </c>
    </row>
    <row r="46" spans="1:8" ht="15.5" hidden="1" outlineLevel="1" thickBot="1">
      <c r="A46" s="14" t="s">
        <v>14</v>
      </c>
      <c r="B46" s="20" t="s">
        <v>17</v>
      </c>
      <c r="C46" s="32">
        <f>C37/C$8</f>
        <v>23.049382716049383</v>
      </c>
      <c r="D46" s="26">
        <f>C46</f>
        <v>23.049382716049383</v>
      </c>
      <c r="E46" s="16">
        <f>D46</f>
        <v>23.049382716049383</v>
      </c>
      <c r="F46" s="16">
        <f t="shared" si="18"/>
        <v>23.049382716049383</v>
      </c>
      <c r="G46" s="16">
        <f t="shared" si="18"/>
        <v>23.049382716049383</v>
      </c>
      <c r="H46" s="17">
        <f t="shared" si="18"/>
        <v>23.049382716049383</v>
      </c>
    </row>
    <row r="48" spans="1:8">
      <c r="A48" s="1" t="s">
        <v>59</v>
      </c>
    </row>
    <row r="49" spans="1:1">
      <c r="A49" s="1" t="s">
        <v>60</v>
      </c>
    </row>
    <row r="50" spans="1:1">
      <c r="A50" s="1" t="s">
        <v>61</v>
      </c>
    </row>
    <row r="51" spans="1:1">
      <c r="A51" s="1" t="s">
        <v>62</v>
      </c>
    </row>
    <row r="52" spans="1:1">
      <c r="A52" s="1" t="s">
        <v>63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ギヤ検討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水島 英二</dc:creator>
  <cp:lastModifiedBy>水島 英二</cp:lastModifiedBy>
  <dcterms:created xsi:type="dcterms:W3CDTF">2015-06-05T18:19:34Z</dcterms:created>
  <dcterms:modified xsi:type="dcterms:W3CDTF">2024-11-19T07:53:01Z</dcterms:modified>
</cp:coreProperties>
</file>